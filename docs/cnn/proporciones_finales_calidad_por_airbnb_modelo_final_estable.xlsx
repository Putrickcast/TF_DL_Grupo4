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94142dbc0dc00fb/Documentos/Deep Learning/TF_DL_Grupo4/docs/cnn/"/>
    </mc:Choice>
  </mc:AlternateContent>
  <xr:revisionPtr revIDLastSave="0" documentId="11_66D1201B158BA62726CD1E305A5ED87656CDAF75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<sst xmlns="http://schemas.openxmlformats.org/spreadsheetml/2006/main" count="66" uniqueCount="66">
  <si>
    <t>id_airbnb</t>
  </si>
  <si>
    <t>id_airbnb_excel</t>
  </si>
  <si>
    <t>n_imagenes_real_total</t>
  </si>
  <si>
    <t>n_imagenes_real_encima_mediana</t>
  </si>
  <si>
    <t>n_imagenes_real_debajo_mediana</t>
  </si>
  <si>
    <t>prop_imagenes_real_encima_mediana</t>
  </si>
  <si>
    <t>prop_imagenes_real_debajo_mediana</t>
  </si>
  <si>
    <t>n_imagenes_pred_total</t>
  </si>
  <si>
    <t>n_imagenes_pred_encima_mediana</t>
  </si>
  <si>
    <t>n_imagenes_pred_debajo_mediana</t>
  </si>
  <si>
    <t>prop_imagenes_pred_encima_mediana</t>
  </si>
  <si>
    <t>prop_imagenes_pred_debajo_mediana</t>
  </si>
  <si>
    <t>dif_prop_pred_vs_real_encima_mediana</t>
  </si>
  <si>
    <t>prob_alta_promedio</t>
  </si>
  <si>
    <t>1488558453969582434</t>
  </si>
  <si>
    <t>1207414356654599414</t>
  </si>
  <si>
    <t>1417419722718950261</t>
  </si>
  <si>
    <t>1500873674449478593</t>
  </si>
  <si>
    <t>1194885970937542129</t>
  </si>
  <si>
    <t>1089836481621094489</t>
  </si>
  <si>
    <t>1453092459905498863</t>
  </si>
  <si>
    <t>846313424333805576</t>
  </si>
  <si>
    <t>51764629</t>
  </si>
  <si>
    <t>1247380646917486240</t>
  </si>
  <si>
    <t>1422671086540527802</t>
  </si>
  <si>
    <t>1467738026099458949</t>
  </si>
  <si>
    <t>1520337706293508110</t>
  </si>
  <si>
    <t>838633176578704267</t>
  </si>
  <si>
    <t>1242307686892251783</t>
  </si>
  <si>
    <t>1173214265061225196</t>
  </si>
  <si>
    <t>1202250552806361613</t>
  </si>
  <si>
    <t>1191330136307274968</t>
  </si>
  <si>
    <t>1173484430269756134</t>
  </si>
  <si>
    <t>800208014785752524</t>
  </si>
  <si>
    <t>899379506224853216</t>
  </si>
  <si>
    <t>1412366769894758932</t>
  </si>
  <si>
    <t>1628476578119797220</t>
  </si>
  <si>
    <t>1190612003084495196</t>
  </si>
  <si>
    <t>1374090235284261515</t>
  </si>
  <si>
    <t>1158688913933082401</t>
  </si>
  <si>
    <t>742541719033641514</t>
  </si>
  <si>
    <t>1492336827661910996</t>
  </si>
  <si>
    <t>1132618139969268206</t>
  </si>
  <si>
    <t>976060981254094446</t>
  </si>
  <si>
    <t>1142890900267610713</t>
  </si>
  <si>
    <t>1135034995673292208</t>
  </si>
  <si>
    <t>827026659851983853</t>
  </si>
  <si>
    <t>564368895233936119</t>
  </si>
  <si>
    <t>1648119432301960151</t>
  </si>
  <si>
    <t>1332612162446824683</t>
  </si>
  <si>
    <t>20738256</t>
  </si>
  <si>
    <t>1523444988694768833</t>
  </si>
  <si>
    <t>1480403540824670560</t>
  </si>
  <si>
    <t>1541508442715730181</t>
  </si>
  <si>
    <t>1325797463021304845</t>
  </si>
  <si>
    <t>871231364866066627</t>
  </si>
  <si>
    <t>1270291278681288518</t>
  </si>
  <si>
    <t>931911079600815104</t>
  </si>
  <si>
    <t>1118142286350817818</t>
  </si>
  <si>
    <t>1204320587452540691</t>
  </si>
  <si>
    <t>1259080790992015969</t>
  </si>
  <si>
    <t>51813337</t>
  </si>
  <si>
    <t>859717485873354592</t>
  </si>
  <si>
    <t>51265033</t>
  </si>
  <si>
    <t>708973846265169428</t>
  </si>
  <si>
    <t>1086343485196324895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</si>
</sst>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workbookViewId="0">
      <selection activeCell="A5" sqref="A5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tr">
        <f>"1488558453969582434"</f>
        <v>1488558453969582434</v>
      </c>
      <c r="C2">
        <v>20</v>
      </c>
      <c r="D2">
        <v>10</v>
      </c>
      <c r="E2">
        <v>10</v>
      </c>
      <c r="F2">
        <v>0.5</v>
      </c>
      <c r="G2">
        <v>0.5</v>
      </c>
      <c r="H2">
        <v>20</v>
      </c>
      <c r="I2">
        <v>16</v>
      </c>
      <c r="J2">
        <v>4</v>
      </c>
      <c r="K2">
        <v>0.8</v>
      </c>
      <c r="L2">
        <v>0.2</v>
      </c>
      <c r="M2">
        <v>0.3</v>
      </c>
      <c r="N2">
        <v>0.64890000000000003</v>
      </c>
    </row>
    <row r="3" spans="1:14" x14ac:dyDescent="0.35">
      <c r="A3" s="2" t="s">
        <v>15</v>
      </c>
      <c r="B3" s="2" t="str">
        <f>"1207414356654599414"</f>
        <v>1207414356654599414</v>
      </c>
      <c r="C3">
        <v>122</v>
      </c>
      <c r="D3">
        <v>84</v>
      </c>
      <c r="E3">
        <v>38</v>
      </c>
      <c r="F3">
        <v>0.6885</v>
      </c>
      <c r="G3">
        <v>0.3115</v>
      </c>
      <c r="H3">
        <v>122</v>
      </c>
      <c r="I3">
        <v>84</v>
      </c>
      <c r="J3">
        <v>38</v>
      </c>
      <c r="K3">
        <v>0.6885</v>
      </c>
      <c r="L3">
        <v>0.3115</v>
      </c>
      <c r="M3">
        <v>0</v>
      </c>
      <c r="N3">
        <v>0.67279999999999995</v>
      </c>
    </row>
    <row r="4" spans="1:14" x14ac:dyDescent="0.35">
      <c r="A4" s="2" t="s">
        <v>16</v>
      </c>
      <c r="B4" s="2" t="str">
        <f>"1417419722718950261"</f>
        <v>1417419722718950261</v>
      </c>
      <c r="C4">
        <v>76</v>
      </c>
      <c r="D4">
        <v>52</v>
      </c>
      <c r="E4">
        <v>24</v>
      </c>
      <c r="F4">
        <v>0.68420000000000003</v>
      </c>
      <c r="G4">
        <v>0.31580000000000003</v>
      </c>
      <c r="H4">
        <v>76</v>
      </c>
      <c r="I4">
        <v>52</v>
      </c>
      <c r="J4">
        <v>24</v>
      </c>
      <c r="K4">
        <v>0.68420000000000003</v>
      </c>
      <c r="L4">
        <v>0.31580000000000003</v>
      </c>
      <c r="M4">
        <v>0</v>
      </c>
      <c r="N4">
        <v>0.63829999999999998</v>
      </c>
    </row>
    <row r="5" spans="1:14" x14ac:dyDescent="0.35">
      <c r="A5" s="2" t="s">
        <v>17</v>
      </c>
      <c r="B5" s="2" t="str">
        <f>"1500873674449478593"</f>
        <v>1500873674449478593</v>
      </c>
      <c r="C5">
        <v>78</v>
      </c>
      <c r="D5">
        <v>52</v>
      </c>
      <c r="E5">
        <v>26</v>
      </c>
      <c r="F5">
        <v>0.66669999999999996</v>
      </c>
      <c r="G5">
        <v>0.33329999999999999</v>
      </c>
      <c r="H5">
        <v>78</v>
      </c>
      <c r="I5">
        <v>52</v>
      </c>
      <c r="J5">
        <v>26</v>
      </c>
      <c r="K5">
        <v>0.66669999999999996</v>
      </c>
      <c r="L5">
        <v>0.33329999999999999</v>
      </c>
      <c r="M5">
        <v>0</v>
      </c>
      <c r="N5">
        <v>0.61909999999999998</v>
      </c>
    </row>
    <row r="6" spans="1:14" x14ac:dyDescent="0.35">
      <c r="A6" s="2" t="s">
        <v>18</v>
      </c>
      <c r="B6" s="2" t="str">
        <f>"1194885970937542129"</f>
        <v>1194885970937542129</v>
      </c>
      <c r="C6">
        <v>70</v>
      </c>
      <c r="D6">
        <v>48</v>
      </c>
      <c r="E6">
        <v>22</v>
      </c>
      <c r="F6">
        <v>0.68569999999999998</v>
      </c>
      <c r="G6">
        <v>0.31430000000000002</v>
      </c>
      <c r="H6">
        <v>70</v>
      </c>
      <c r="I6">
        <v>46</v>
      </c>
      <c r="J6">
        <v>24</v>
      </c>
      <c r="K6">
        <v>0.65710000000000002</v>
      </c>
      <c r="L6">
        <v>0.34289999999999998</v>
      </c>
      <c r="M6">
        <v>-2.86E-2</v>
      </c>
      <c r="N6">
        <v>0.64300000000000002</v>
      </c>
    </row>
    <row r="7" spans="1:14" x14ac:dyDescent="0.35">
      <c r="A7" s="2" t="s">
        <v>19</v>
      </c>
      <c r="B7" s="2" t="str">
        <f>"1089836481621094489"</f>
        <v>1089836481621094489</v>
      </c>
      <c r="C7">
        <v>64</v>
      </c>
      <c r="D7">
        <v>36</v>
      </c>
      <c r="E7">
        <v>28</v>
      </c>
      <c r="F7">
        <v>0.5625</v>
      </c>
      <c r="G7">
        <v>0.4375</v>
      </c>
      <c r="H7">
        <v>64</v>
      </c>
      <c r="I7">
        <v>42</v>
      </c>
      <c r="J7">
        <v>22</v>
      </c>
      <c r="K7">
        <v>0.65620000000000001</v>
      </c>
      <c r="L7">
        <v>0.34379999999999999</v>
      </c>
      <c r="M7">
        <v>9.3799999999999994E-2</v>
      </c>
      <c r="N7">
        <v>0.60509999999999997</v>
      </c>
    </row>
    <row r="8" spans="1:14" x14ac:dyDescent="0.35">
      <c r="A8" s="2" t="s">
        <v>20</v>
      </c>
      <c r="B8" s="2" t="str">
        <f>"1453092459905498863"</f>
        <v>1453092459905498863</v>
      </c>
      <c r="C8">
        <v>64</v>
      </c>
      <c r="D8">
        <v>42</v>
      </c>
      <c r="E8">
        <v>22</v>
      </c>
      <c r="F8">
        <v>0.65620000000000001</v>
      </c>
      <c r="G8">
        <v>0.34379999999999999</v>
      </c>
      <c r="H8">
        <v>64</v>
      </c>
      <c r="I8">
        <v>42</v>
      </c>
      <c r="J8">
        <v>22</v>
      </c>
      <c r="K8">
        <v>0.65620000000000001</v>
      </c>
      <c r="L8">
        <v>0.34379999999999999</v>
      </c>
      <c r="M8">
        <v>0</v>
      </c>
      <c r="N8">
        <v>0.6482</v>
      </c>
    </row>
    <row r="9" spans="1:14" x14ac:dyDescent="0.35">
      <c r="A9" s="2" t="s">
        <v>21</v>
      </c>
      <c r="B9" s="2" t="str">
        <f>"846313424333805576"</f>
        <v>846313424333805576</v>
      </c>
      <c r="C9">
        <v>69</v>
      </c>
      <c r="D9">
        <v>47</v>
      </c>
      <c r="E9">
        <v>22</v>
      </c>
      <c r="F9">
        <v>0.68120000000000003</v>
      </c>
      <c r="G9">
        <v>0.31879999999999997</v>
      </c>
      <c r="H9">
        <v>69</v>
      </c>
      <c r="I9">
        <v>45</v>
      </c>
      <c r="J9">
        <v>24</v>
      </c>
      <c r="K9">
        <v>0.6522</v>
      </c>
      <c r="L9">
        <v>0.3478</v>
      </c>
      <c r="M9">
        <v>-2.9000000000000001E-2</v>
      </c>
      <c r="N9">
        <v>0.64659999999999995</v>
      </c>
    </row>
    <row r="10" spans="1:14" x14ac:dyDescent="0.35">
      <c r="A10" s="2" t="s">
        <v>22</v>
      </c>
      <c r="B10" s="2" t="str">
        <f>"51764629"</f>
        <v>51764629</v>
      </c>
      <c r="C10">
        <v>108</v>
      </c>
      <c r="D10">
        <v>72</v>
      </c>
      <c r="E10">
        <v>36</v>
      </c>
      <c r="F10">
        <v>0.66669999999999996</v>
      </c>
      <c r="G10">
        <v>0.33329999999999999</v>
      </c>
      <c r="H10">
        <v>108</v>
      </c>
      <c r="I10">
        <v>70</v>
      </c>
      <c r="J10">
        <v>38</v>
      </c>
      <c r="K10">
        <v>0.64810000000000001</v>
      </c>
      <c r="L10">
        <v>0.35189999999999999</v>
      </c>
      <c r="M10">
        <v>-1.8499999999999999E-2</v>
      </c>
      <c r="N10">
        <v>0.64670000000000005</v>
      </c>
    </row>
    <row r="11" spans="1:14" x14ac:dyDescent="0.35">
      <c r="A11" s="2" t="s">
        <v>23</v>
      </c>
      <c r="B11" s="2" t="str">
        <f>"1247380646917486240"</f>
        <v>1247380646917486240</v>
      </c>
      <c r="C11">
        <v>136</v>
      </c>
      <c r="D11">
        <v>94</v>
      </c>
      <c r="E11">
        <v>42</v>
      </c>
      <c r="F11">
        <v>0.69120000000000004</v>
      </c>
      <c r="G11">
        <v>0.30880000000000002</v>
      </c>
      <c r="H11">
        <v>136</v>
      </c>
      <c r="I11">
        <v>88</v>
      </c>
      <c r="J11">
        <v>48</v>
      </c>
      <c r="K11">
        <v>0.64710000000000001</v>
      </c>
      <c r="L11">
        <v>0.35289999999999999</v>
      </c>
      <c r="M11">
        <v>-4.41E-2</v>
      </c>
      <c r="N11">
        <v>0.63729999999999998</v>
      </c>
    </row>
    <row r="12" spans="1:14" x14ac:dyDescent="0.35">
      <c r="A12" s="2" t="s">
        <v>24</v>
      </c>
      <c r="B12" s="2" t="str">
        <f>"1422671086540527802"</f>
        <v>1422671086540527802</v>
      </c>
      <c r="C12">
        <v>68</v>
      </c>
      <c r="D12">
        <v>28</v>
      </c>
      <c r="E12">
        <v>40</v>
      </c>
      <c r="F12">
        <v>0.4118</v>
      </c>
      <c r="G12">
        <v>0.58819999999999995</v>
      </c>
      <c r="H12">
        <v>68</v>
      </c>
      <c r="I12">
        <v>44</v>
      </c>
      <c r="J12">
        <v>24</v>
      </c>
      <c r="K12">
        <v>0.64710000000000001</v>
      </c>
      <c r="L12">
        <v>0.35289999999999999</v>
      </c>
      <c r="M12">
        <v>0.23530000000000001</v>
      </c>
      <c r="N12">
        <v>0.58909999999999996</v>
      </c>
    </row>
    <row r="13" spans="1:14" x14ac:dyDescent="0.35">
      <c r="A13" s="2" t="s">
        <v>25</v>
      </c>
      <c r="B13" s="2" t="str">
        <f>"1467738026099458949"</f>
        <v>1467738026099458949</v>
      </c>
      <c r="C13">
        <v>96</v>
      </c>
      <c r="D13">
        <v>54</v>
      </c>
      <c r="E13">
        <v>42</v>
      </c>
      <c r="F13">
        <v>0.5625</v>
      </c>
      <c r="G13">
        <v>0.4375</v>
      </c>
      <c r="H13">
        <v>96</v>
      </c>
      <c r="I13">
        <v>62</v>
      </c>
      <c r="J13">
        <v>34</v>
      </c>
      <c r="K13">
        <v>0.64580000000000004</v>
      </c>
      <c r="L13">
        <v>0.35420000000000001</v>
      </c>
      <c r="M13">
        <v>8.3299999999999999E-2</v>
      </c>
      <c r="N13">
        <v>0.60050000000000003</v>
      </c>
    </row>
    <row r="14" spans="1:14" x14ac:dyDescent="0.35">
      <c r="A14" s="2" t="s">
        <v>26</v>
      </c>
      <c r="B14" s="2" t="str">
        <f>"1520337706293508110"</f>
        <v>1520337706293508110</v>
      </c>
      <c r="C14">
        <v>47</v>
      </c>
      <c r="D14">
        <v>25</v>
      </c>
      <c r="E14">
        <v>22</v>
      </c>
      <c r="F14">
        <v>0.53190000000000004</v>
      </c>
      <c r="G14">
        <v>0.46810000000000002</v>
      </c>
      <c r="H14">
        <v>47</v>
      </c>
      <c r="I14">
        <v>30</v>
      </c>
      <c r="J14">
        <v>17</v>
      </c>
      <c r="K14">
        <v>0.63829999999999998</v>
      </c>
      <c r="L14">
        <v>0.36170000000000002</v>
      </c>
      <c r="M14">
        <v>0.10639999999999999</v>
      </c>
      <c r="N14">
        <v>0.63519999999999999</v>
      </c>
    </row>
    <row r="15" spans="1:14" x14ac:dyDescent="0.35">
      <c r="A15" s="2" t="s">
        <v>27</v>
      </c>
      <c r="B15" s="2" t="str">
        <f>"838633176578704267"</f>
        <v>838633176578704267</v>
      </c>
      <c r="C15">
        <v>66</v>
      </c>
      <c r="D15">
        <v>38</v>
      </c>
      <c r="E15">
        <v>28</v>
      </c>
      <c r="F15">
        <v>0.57579999999999998</v>
      </c>
      <c r="G15">
        <v>0.42420000000000002</v>
      </c>
      <c r="H15">
        <v>66</v>
      </c>
      <c r="I15">
        <v>42</v>
      </c>
      <c r="J15">
        <v>24</v>
      </c>
      <c r="K15">
        <v>0.63639999999999997</v>
      </c>
      <c r="L15">
        <v>0.36359999999999998</v>
      </c>
      <c r="M15">
        <v>6.0600000000000001E-2</v>
      </c>
      <c r="N15">
        <v>0.60199999999999998</v>
      </c>
    </row>
    <row r="16" spans="1:14" x14ac:dyDescent="0.35">
      <c r="A16" s="2" t="s">
        <v>28</v>
      </c>
      <c r="B16" s="2" t="str">
        <f>"1242307686892251783"</f>
        <v>1242307686892251783</v>
      </c>
      <c r="C16">
        <v>139</v>
      </c>
      <c r="D16">
        <v>89</v>
      </c>
      <c r="E16">
        <v>50</v>
      </c>
      <c r="F16">
        <v>0.64029999999999998</v>
      </c>
      <c r="G16">
        <v>0.35970000000000002</v>
      </c>
      <c r="H16">
        <v>139</v>
      </c>
      <c r="I16">
        <v>87</v>
      </c>
      <c r="J16">
        <v>52</v>
      </c>
      <c r="K16">
        <v>0.62590000000000001</v>
      </c>
      <c r="L16">
        <v>0.37409999999999999</v>
      </c>
      <c r="M16">
        <v>-1.44E-2</v>
      </c>
      <c r="N16">
        <v>0.6008</v>
      </c>
    </row>
    <row r="17" spans="1:14" x14ac:dyDescent="0.35">
      <c r="A17" s="2" t="s">
        <v>29</v>
      </c>
      <c r="B17" s="2" t="str">
        <f>"1173214265061225196"</f>
        <v>1173214265061225196</v>
      </c>
      <c r="C17">
        <v>52</v>
      </c>
      <c r="D17">
        <v>28</v>
      </c>
      <c r="E17">
        <v>24</v>
      </c>
      <c r="F17">
        <v>0.53849999999999998</v>
      </c>
      <c r="G17">
        <v>0.46150000000000002</v>
      </c>
      <c r="H17">
        <v>52</v>
      </c>
      <c r="I17">
        <v>32</v>
      </c>
      <c r="J17">
        <v>20</v>
      </c>
      <c r="K17">
        <v>0.61539999999999995</v>
      </c>
      <c r="L17">
        <v>0.3846</v>
      </c>
      <c r="M17">
        <v>7.6899999999999996E-2</v>
      </c>
      <c r="N17">
        <v>0.50949999999999995</v>
      </c>
    </row>
    <row r="18" spans="1:14" x14ac:dyDescent="0.35">
      <c r="A18" s="2" t="s">
        <v>30</v>
      </c>
      <c r="B18" s="2" t="str">
        <f>"1202250552806361613"</f>
        <v>1202250552806361613</v>
      </c>
      <c r="C18">
        <v>146</v>
      </c>
      <c r="D18">
        <v>100</v>
      </c>
      <c r="E18">
        <v>46</v>
      </c>
      <c r="F18">
        <v>0.68489999999999995</v>
      </c>
      <c r="G18">
        <v>0.31509999999999999</v>
      </c>
      <c r="H18">
        <v>146</v>
      </c>
      <c r="I18">
        <v>88</v>
      </c>
      <c r="J18">
        <v>58</v>
      </c>
      <c r="K18">
        <v>0.60270000000000001</v>
      </c>
      <c r="L18">
        <v>0.39729999999999999</v>
      </c>
      <c r="M18">
        <v>-8.2199999999999995E-2</v>
      </c>
      <c r="N18">
        <v>0.62829999999999997</v>
      </c>
    </row>
    <row r="19" spans="1:14" x14ac:dyDescent="0.35">
      <c r="A19" s="2" t="s">
        <v>31</v>
      </c>
      <c r="B19" s="2" t="str">
        <f>"1191330136307274968"</f>
        <v>1191330136307274968</v>
      </c>
      <c r="C19">
        <v>114</v>
      </c>
      <c r="D19">
        <v>62</v>
      </c>
      <c r="E19">
        <v>52</v>
      </c>
      <c r="F19">
        <v>0.54390000000000005</v>
      </c>
      <c r="G19">
        <v>0.45610000000000001</v>
      </c>
      <c r="H19">
        <v>114</v>
      </c>
      <c r="I19">
        <v>68</v>
      </c>
      <c r="J19">
        <v>46</v>
      </c>
      <c r="K19">
        <v>0.59650000000000003</v>
      </c>
      <c r="L19">
        <v>0.40350000000000003</v>
      </c>
      <c r="M19">
        <v>5.2600000000000001E-2</v>
      </c>
      <c r="N19">
        <v>0.56089999999999995</v>
      </c>
    </row>
    <row r="20" spans="1:14" x14ac:dyDescent="0.35">
      <c r="A20" s="2" t="s">
        <v>32</v>
      </c>
      <c r="B20" s="2" t="str">
        <f>"1173484430269756134"</f>
        <v>1173484430269756134</v>
      </c>
      <c r="C20">
        <v>104</v>
      </c>
      <c r="D20">
        <v>70</v>
      </c>
      <c r="E20">
        <v>34</v>
      </c>
      <c r="F20">
        <v>0.67310000000000003</v>
      </c>
      <c r="G20">
        <v>0.32690000000000002</v>
      </c>
      <c r="H20">
        <v>104</v>
      </c>
      <c r="I20">
        <v>60</v>
      </c>
      <c r="J20">
        <v>44</v>
      </c>
      <c r="K20">
        <v>0.57689999999999997</v>
      </c>
      <c r="L20">
        <v>0.42309999999999998</v>
      </c>
      <c r="M20">
        <v>-9.6199999999999994E-2</v>
      </c>
      <c r="N20">
        <v>0.55610000000000004</v>
      </c>
    </row>
    <row r="21" spans="1:14" x14ac:dyDescent="0.35">
      <c r="A21" s="2" t="s">
        <v>33</v>
      </c>
      <c r="B21" s="2" t="str">
        <f>"800208014785752524"</f>
        <v>800208014785752524</v>
      </c>
      <c r="C21">
        <v>148</v>
      </c>
      <c r="D21">
        <v>86</v>
      </c>
      <c r="E21">
        <v>62</v>
      </c>
      <c r="F21">
        <v>0.58109999999999995</v>
      </c>
      <c r="G21">
        <v>0.41889999999999999</v>
      </c>
      <c r="H21">
        <v>148</v>
      </c>
      <c r="I21">
        <v>84</v>
      </c>
      <c r="J21">
        <v>64</v>
      </c>
      <c r="K21">
        <v>0.56759999999999999</v>
      </c>
      <c r="L21">
        <v>0.43240000000000001</v>
      </c>
      <c r="M21">
        <v>-1.35E-2</v>
      </c>
      <c r="N21">
        <v>0.57899999999999996</v>
      </c>
    </row>
    <row r="22" spans="1:14" x14ac:dyDescent="0.35">
      <c r="A22" s="2" t="s">
        <v>34</v>
      </c>
      <c r="B22" s="2" t="str">
        <f>"899379506224853216"</f>
        <v>899379506224853216</v>
      </c>
      <c r="C22">
        <v>86</v>
      </c>
      <c r="D22">
        <v>42</v>
      </c>
      <c r="E22">
        <v>44</v>
      </c>
      <c r="F22">
        <v>0.4884</v>
      </c>
      <c r="G22">
        <v>0.51160000000000005</v>
      </c>
      <c r="H22">
        <v>86</v>
      </c>
      <c r="I22">
        <v>48</v>
      </c>
      <c r="J22">
        <v>38</v>
      </c>
      <c r="K22">
        <v>0.55810000000000004</v>
      </c>
      <c r="L22">
        <v>0.44190000000000002</v>
      </c>
      <c r="M22">
        <v>6.9800000000000001E-2</v>
      </c>
      <c r="N22">
        <v>0.55820000000000003</v>
      </c>
    </row>
    <row r="23" spans="1:14" x14ac:dyDescent="0.35">
      <c r="A23" s="2" t="s">
        <v>35</v>
      </c>
      <c r="B23" s="2" t="str">
        <f>"1412366769894758932"</f>
        <v>1412366769894758932</v>
      </c>
      <c r="C23">
        <v>158</v>
      </c>
      <c r="D23">
        <v>84</v>
      </c>
      <c r="E23">
        <v>74</v>
      </c>
      <c r="F23">
        <v>0.53159999999999996</v>
      </c>
      <c r="G23">
        <v>0.46839999999999998</v>
      </c>
      <c r="H23">
        <v>158</v>
      </c>
      <c r="I23">
        <v>88</v>
      </c>
      <c r="J23">
        <v>70</v>
      </c>
      <c r="K23">
        <v>0.55700000000000005</v>
      </c>
      <c r="L23">
        <v>0.443</v>
      </c>
      <c r="M23">
        <v>2.53E-2</v>
      </c>
      <c r="N23">
        <v>0.53239999999999998</v>
      </c>
    </row>
    <row r="24" spans="1:14" x14ac:dyDescent="0.35">
      <c r="A24" s="2" t="s">
        <v>36</v>
      </c>
      <c r="B24" s="2" t="str">
        <f>"1628476578119797220"</f>
        <v>1628476578119797220</v>
      </c>
      <c r="C24">
        <v>84</v>
      </c>
      <c r="D24">
        <v>44</v>
      </c>
      <c r="E24">
        <v>40</v>
      </c>
      <c r="F24">
        <v>0.52380000000000004</v>
      </c>
      <c r="G24">
        <v>0.47620000000000001</v>
      </c>
      <c r="H24">
        <v>84</v>
      </c>
      <c r="I24">
        <v>46</v>
      </c>
      <c r="J24">
        <v>38</v>
      </c>
      <c r="K24">
        <v>0.54759999999999998</v>
      </c>
      <c r="L24">
        <v>0.45240000000000002</v>
      </c>
      <c r="M24">
        <v>2.3800000000000002E-2</v>
      </c>
      <c r="N24">
        <v>0.50349999999999995</v>
      </c>
    </row>
    <row r="25" spans="1:14" x14ac:dyDescent="0.35">
      <c r="A25" s="2" t="s">
        <v>37</v>
      </c>
      <c r="B25" s="2" t="str">
        <f>"1190612003084495196"</f>
        <v>1190612003084495196</v>
      </c>
      <c r="C25">
        <v>84</v>
      </c>
      <c r="D25">
        <v>50</v>
      </c>
      <c r="E25">
        <v>34</v>
      </c>
      <c r="F25">
        <v>0.59519999999999995</v>
      </c>
      <c r="G25">
        <v>0.40479999999999999</v>
      </c>
      <c r="H25">
        <v>84</v>
      </c>
      <c r="I25">
        <v>46</v>
      </c>
      <c r="J25">
        <v>38</v>
      </c>
      <c r="K25">
        <v>0.54759999999999998</v>
      </c>
      <c r="L25">
        <v>0.45240000000000002</v>
      </c>
      <c r="M25">
        <v>-4.7600000000000003E-2</v>
      </c>
      <c r="N25">
        <v>0.56999999999999995</v>
      </c>
    </row>
    <row r="26" spans="1:14" x14ac:dyDescent="0.35">
      <c r="A26" s="2" t="s">
        <v>38</v>
      </c>
      <c r="B26" s="2" t="str">
        <f>"1374090235284261515"</f>
        <v>1374090235284261515</v>
      </c>
      <c r="C26">
        <v>200</v>
      </c>
      <c r="D26">
        <v>107</v>
      </c>
      <c r="E26">
        <v>93</v>
      </c>
      <c r="F26">
        <v>0.53500000000000003</v>
      </c>
      <c r="G26">
        <v>0.46500000000000002</v>
      </c>
      <c r="H26">
        <v>200</v>
      </c>
      <c r="I26">
        <v>108</v>
      </c>
      <c r="J26">
        <v>92</v>
      </c>
      <c r="K26">
        <v>0.54</v>
      </c>
      <c r="L26">
        <v>0.46</v>
      </c>
      <c r="M26">
        <v>5.0000000000000001E-3</v>
      </c>
      <c r="N26">
        <v>0.52470000000000006</v>
      </c>
    </row>
    <row r="27" spans="1:14" x14ac:dyDescent="0.35">
      <c r="A27" s="2" t="s">
        <v>39</v>
      </c>
      <c r="B27" s="2" t="str">
        <f>"1158688913933082401"</f>
        <v>1158688913933082401</v>
      </c>
      <c r="C27">
        <v>66</v>
      </c>
      <c r="D27">
        <v>31</v>
      </c>
      <c r="E27">
        <v>35</v>
      </c>
      <c r="F27">
        <v>0.46970000000000001</v>
      </c>
      <c r="G27">
        <v>0.53029999999999999</v>
      </c>
      <c r="H27">
        <v>66</v>
      </c>
      <c r="I27">
        <v>35</v>
      </c>
      <c r="J27">
        <v>31</v>
      </c>
      <c r="K27">
        <v>0.53029999999999999</v>
      </c>
      <c r="L27">
        <v>0.46970000000000001</v>
      </c>
      <c r="M27">
        <v>6.0600000000000001E-2</v>
      </c>
      <c r="N27">
        <v>0.4733</v>
      </c>
    </row>
    <row r="28" spans="1:14" x14ac:dyDescent="0.35">
      <c r="A28" s="2" t="s">
        <v>40</v>
      </c>
      <c r="B28" s="2" t="str">
        <f>"742541719033641514"</f>
        <v>742541719033641514</v>
      </c>
      <c r="C28">
        <v>98</v>
      </c>
      <c r="D28">
        <v>52</v>
      </c>
      <c r="E28">
        <v>46</v>
      </c>
      <c r="F28">
        <v>0.53059999999999996</v>
      </c>
      <c r="G28">
        <v>0.46939999999999998</v>
      </c>
      <c r="H28">
        <v>98</v>
      </c>
      <c r="I28">
        <v>50</v>
      </c>
      <c r="J28">
        <v>48</v>
      </c>
      <c r="K28">
        <v>0.51019999999999999</v>
      </c>
      <c r="L28">
        <v>0.48980000000000001</v>
      </c>
      <c r="M28">
        <v>-2.0400000000000001E-2</v>
      </c>
      <c r="N28">
        <v>0.495</v>
      </c>
    </row>
    <row r="29" spans="1:14" x14ac:dyDescent="0.35">
      <c r="A29" s="2" t="s">
        <v>41</v>
      </c>
      <c r="B29" s="2" t="str">
        <f>"1492336827661910996"</f>
        <v>1492336827661910996</v>
      </c>
      <c r="C29">
        <v>76</v>
      </c>
      <c r="D29">
        <v>46</v>
      </c>
      <c r="E29">
        <v>30</v>
      </c>
      <c r="F29">
        <v>0.60529999999999995</v>
      </c>
      <c r="G29">
        <v>0.3947</v>
      </c>
      <c r="H29">
        <v>76</v>
      </c>
      <c r="I29">
        <v>38</v>
      </c>
      <c r="J29">
        <v>38</v>
      </c>
      <c r="K29">
        <v>0.5</v>
      </c>
      <c r="L29">
        <v>0.5</v>
      </c>
      <c r="M29">
        <v>-0.1053</v>
      </c>
      <c r="N29">
        <v>0.5272</v>
      </c>
    </row>
    <row r="30" spans="1:14" x14ac:dyDescent="0.35">
      <c r="A30" s="2" t="s">
        <v>42</v>
      </c>
      <c r="B30" s="2" t="str">
        <f>"1132618139969268206"</f>
        <v>1132618139969268206</v>
      </c>
      <c r="C30">
        <v>93</v>
      </c>
      <c r="D30">
        <v>50</v>
      </c>
      <c r="E30">
        <v>43</v>
      </c>
      <c r="F30">
        <v>0.53759999999999997</v>
      </c>
      <c r="G30">
        <v>0.46239999999999998</v>
      </c>
      <c r="H30">
        <v>93</v>
      </c>
      <c r="I30">
        <v>46</v>
      </c>
      <c r="J30">
        <v>47</v>
      </c>
      <c r="K30">
        <v>0.49459999999999998</v>
      </c>
      <c r="L30">
        <v>0.50539999999999996</v>
      </c>
      <c r="M30">
        <v>-4.2999999999999997E-2</v>
      </c>
      <c r="N30">
        <v>0.54210000000000003</v>
      </c>
    </row>
    <row r="31" spans="1:14" x14ac:dyDescent="0.35">
      <c r="A31" s="2" t="s">
        <v>43</v>
      </c>
      <c r="B31" s="2" t="str">
        <f>"976060981254094446"</f>
        <v>976060981254094446</v>
      </c>
      <c r="C31">
        <v>140</v>
      </c>
      <c r="D31">
        <v>68</v>
      </c>
      <c r="E31">
        <v>72</v>
      </c>
      <c r="F31">
        <v>0.48570000000000002</v>
      </c>
      <c r="G31">
        <v>0.51429999999999998</v>
      </c>
      <c r="H31">
        <v>140</v>
      </c>
      <c r="I31">
        <v>66</v>
      </c>
      <c r="J31">
        <v>74</v>
      </c>
      <c r="K31">
        <v>0.47139999999999999</v>
      </c>
      <c r="L31">
        <v>0.52859999999999996</v>
      </c>
      <c r="M31">
        <v>-1.43E-2</v>
      </c>
      <c r="N31">
        <v>0.48599999999999999</v>
      </c>
    </row>
    <row r="32" spans="1:14" x14ac:dyDescent="0.35">
      <c r="A32" s="2" t="s">
        <v>44</v>
      </c>
      <c r="B32" s="2" t="str">
        <f>"1142890900267610713"</f>
        <v>1142890900267610713</v>
      </c>
      <c r="C32">
        <v>67</v>
      </c>
      <c r="D32">
        <v>23</v>
      </c>
      <c r="E32">
        <v>44</v>
      </c>
      <c r="F32">
        <v>0.34329999999999999</v>
      </c>
      <c r="G32">
        <v>0.65669999999999995</v>
      </c>
      <c r="H32">
        <v>67</v>
      </c>
      <c r="I32">
        <v>31</v>
      </c>
      <c r="J32">
        <v>36</v>
      </c>
      <c r="K32">
        <v>0.4627</v>
      </c>
      <c r="L32">
        <v>0.5373</v>
      </c>
      <c r="M32">
        <v>0.11940000000000001</v>
      </c>
      <c r="N32">
        <v>0.45119999999999999</v>
      </c>
    </row>
    <row r="33" spans="1:14" x14ac:dyDescent="0.35">
      <c r="A33" s="2" t="s">
        <v>45</v>
      </c>
      <c r="B33" s="2" t="str">
        <f>"1135034995673292208"</f>
        <v>1135034995673292208</v>
      </c>
      <c r="C33">
        <v>125</v>
      </c>
      <c r="D33">
        <v>54</v>
      </c>
      <c r="E33">
        <v>71</v>
      </c>
      <c r="F33">
        <v>0.432</v>
      </c>
      <c r="G33">
        <v>0.56799999999999995</v>
      </c>
      <c r="H33">
        <v>125</v>
      </c>
      <c r="I33">
        <v>54</v>
      </c>
      <c r="J33">
        <v>71</v>
      </c>
      <c r="K33">
        <v>0.432</v>
      </c>
      <c r="L33">
        <v>0.56799999999999995</v>
      </c>
      <c r="M33">
        <v>0</v>
      </c>
      <c r="N33">
        <v>0.45839999999999997</v>
      </c>
    </row>
    <row r="34" spans="1:14" x14ac:dyDescent="0.35">
      <c r="A34" s="2" t="s">
        <v>46</v>
      </c>
      <c r="B34" s="2" t="str">
        <f>"827026659851983853"</f>
        <v>827026659851983853</v>
      </c>
      <c r="C34">
        <v>51</v>
      </c>
      <c r="D34">
        <v>26</v>
      </c>
      <c r="E34">
        <v>25</v>
      </c>
      <c r="F34">
        <v>0.50980000000000003</v>
      </c>
      <c r="G34">
        <v>0.49020000000000002</v>
      </c>
      <c r="H34">
        <v>51</v>
      </c>
      <c r="I34">
        <v>22</v>
      </c>
      <c r="J34">
        <v>29</v>
      </c>
      <c r="K34">
        <v>0.43140000000000001</v>
      </c>
      <c r="L34">
        <v>0.56859999999999999</v>
      </c>
      <c r="M34">
        <v>-7.8399999999999997E-2</v>
      </c>
      <c r="N34">
        <v>0.50039999999999996</v>
      </c>
    </row>
    <row r="35" spans="1:14" x14ac:dyDescent="0.35">
      <c r="A35" s="2" t="s">
        <v>47</v>
      </c>
      <c r="B35" s="2" t="str">
        <f>"564368895233936119"</f>
        <v>564368895233936119</v>
      </c>
      <c r="C35">
        <v>40</v>
      </c>
      <c r="D35">
        <v>14</v>
      </c>
      <c r="E35">
        <v>26</v>
      </c>
      <c r="F35">
        <v>0.35</v>
      </c>
      <c r="G35">
        <v>0.65</v>
      </c>
      <c r="H35">
        <v>40</v>
      </c>
      <c r="I35">
        <v>17</v>
      </c>
      <c r="J35">
        <v>23</v>
      </c>
      <c r="K35">
        <v>0.42499999999999999</v>
      </c>
      <c r="L35">
        <v>0.57499999999999996</v>
      </c>
      <c r="M35">
        <v>7.4999999999999997E-2</v>
      </c>
      <c r="N35">
        <v>0.48799999999999999</v>
      </c>
    </row>
    <row r="36" spans="1:14" x14ac:dyDescent="0.35">
      <c r="A36" s="2" t="s">
        <v>48</v>
      </c>
      <c r="B36" s="2" t="str">
        <f>"1648119432301960151"</f>
        <v>1648119432301960151</v>
      </c>
      <c r="C36">
        <v>127</v>
      </c>
      <c r="D36">
        <v>53</v>
      </c>
      <c r="E36">
        <v>74</v>
      </c>
      <c r="F36">
        <v>0.4173</v>
      </c>
      <c r="G36">
        <v>0.5827</v>
      </c>
      <c r="H36">
        <v>127</v>
      </c>
      <c r="I36">
        <v>53</v>
      </c>
      <c r="J36">
        <v>74</v>
      </c>
      <c r="K36">
        <v>0.4173</v>
      </c>
      <c r="L36">
        <v>0.5827</v>
      </c>
      <c r="M36">
        <v>0</v>
      </c>
      <c r="N36">
        <v>0.42320000000000002</v>
      </c>
    </row>
    <row r="37" spans="1:14" x14ac:dyDescent="0.35">
      <c r="A37" s="2" t="s">
        <v>49</v>
      </c>
      <c r="B37" s="2" t="str">
        <f>"1332612162446824683"</f>
        <v>1332612162446824683</v>
      </c>
      <c r="C37">
        <v>40</v>
      </c>
      <c r="D37">
        <v>14</v>
      </c>
      <c r="E37">
        <v>26</v>
      </c>
      <c r="F37">
        <v>0.35</v>
      </c>
      <c r="G37">
        <v>0.65</v>
      </c>
      <c r="H37">
        <v>40</v>
      </c>
      <c r="I37">
        <v>16</v>
      </c>
      <c r="J37">
        <v>24</v>
      </c>
      <c r="K37">
        <v>0.4</v>
      </c>
      <c r="L37">
        <v>0.6</v>
      </c>
      <c r="M37">
        <v>0.05</v>
      </c>
      <c r="N37">
        <v>0.38869999999999999</v>
      </c>
    </row>
    <row r="38" spans="1:14" x14ac:dyDescent="0.35">
      <c r="A38" s="2" t="s">
        <v>50</v>
      </c>
      <c r="B38" s="2" t="str">
        <f>"20738256"</f>
        <v>20738256</v>
      </c>
      <c r="C38">
        <v>40</v>
      </c>
      <c r="D38">
        <v>18</v>
      </c>
      <c r="E38">
        <v>22</v>
      </c>
      <c r="F38">
        <v>0.45</v>
      </c>
      <c r="G38">
        <v>0.55000000000000004</v>
      </c>
      <c r="H38">
        <v>40</v>
      </c>
      <c r="I38">
        <v>16</v>
      </c>
      <c r="J38">
        <v>24</v>
      </c>
      <c r="K38">
        <v>0.4</v>
      </c>
      <c r="L38">
        <v>0.6</v>
      </c>
      <c r="M38">
        <v>-0.05</v>
      </c>
      <c r="N38">
        <v>0.41970000000000002</v>
      </c>
    </row>
    <row r="39" spans="1:14" x14ac:dyDescent="0.35">
      <c r="A39" s="2" t="s">
        <v>51</v>
      </c>
      <c r="B39" s="2" t="str">
        <f>"1523444988694768833"</f>
        <v>1523444988694768833</v>
      </c>
      <c r="C39">
        <v>127</v>
      </c>
      <c r="D39">
        <v>59</v>
      </c>
      <c r="E39">
        <v>68</v>
      </c>
      <c r="F39">
        <v>0.46460000000000001</v>
      </c>
      <c r="G39">
        <v>0.53539999999999999</v>
      </c>
      <c r="H39">
        <v>127</v>
      </c>
      <c r="I39">
        <v>49</v>
      </c>
      <c r="J39">
        <v>78</v>
      </c>
      <c r="K39">
        <v>0.38579999999999998</v>
      </c>
      <c r="L39">
        <v>0.61419999999999997</v>
      </c>
      <c r="M39">
        <v>-7.8700000000000006E-2</v>
      </c>
      <c r="N39">
        <v>0.4274</v>
      </c>
    </row>
    <row r="40" spans="1:14" x14ac:dyDescent="0.35">
      <c r="A40" s="2" t="s">
        <v>52</v>
      </c>
      <c r="B40" s="2" t="str">
        <f>"1480403540824670560"</f>
        <v>1480403540824670560</v>
      </c>
      <c r="C40">
        <v>40</v>
      </c>
      <c r="D40">
        <v>10</v>
      </c>
      <c r="E40">
        <v>30</v>
      </c>
      <c r="F40">
        <v>0.25</v>
      </c>
      <c r="G40">
        <v>0.75</v>
      </c>
      <c r="H40">
        <v>40</v>
      </c>
      <c r="I40">
        <v>14</v>
      </c>
      <c r="J40">
        <v>26</v>
      </c>
      <c r="K40">
        <v>0.35</v>
      </c>
      <c r="L40">
        <v>0.65</v>
      </c>
      <c r="M40">
        <v>0.1</v>
      </c>
      <c r="N40">
        <v>0.30509999999999998</v>
      </c>
    </row>
    <row r="41" spans="1:14" x14ac:dyDescent="0.35">
      <c r="A41" s="2" t="s">
        <v>53</v>
      </c>
      <c r="B41" s="2" t="str">
        <f>"1541508442715730181"</f>
        <v>1541508442715730181</v>
      </c>
      <c r="C41">
        <v>118</v>
      </c>
      <c r="D41">
        <v>42</v>
      </c>
      <c r="E41">
        <v>76</v>
      </c>
      <c r="F41">
        <v>0.35589999999999999</v>
      </c>
      <c r="G41">
        <v>0.64410000000000001</v>
      </c>
      <c r="H41">
        <v>118</v>
      </c>
      <c r="I41">
        <v>40</v>
      </c>
      <c r="J41">
        <v>78</v>
      </c>
      <c r="K41">
        <v>0.33900000000000002</v>
      </c>
      <c r="L41">
        <v>0.66100000000000003</v>
      </c>
      <c r="M41">
        <v>-1.6899999999999998E-2</v>
      </c>
      <c r="N41">
        <v>0.37369999999999998</v>
      </c>
    </row>
    <row r="42" spans="1:14" x14ac:dyDescent="0.35">
      <c r="A42" s="2" t="s">
        <v>54</v>
      </c>
      <c r="B42" s="2" t="str">
        <f>"1325797463021304845"</f>
        <v>1325797463021304845</v>
      </c>
      <c r="C42">
        <v>100</v>
      </c>
      <c r="D42">
        <v>33</v>
      </c>
      <c r="E42">
        <v>67</v>
      </c>
      <c r="F42">
        <v>0.33</v>
      </c>
      <c r="G42">
        <v>0.67</v>
      </c>
      <c r="H42">
        <v>100</v>
      </c>
      <c r="I42">
        <v>31</v>
      </c>
      <c r="J42">
        <v>69</v>
      </c>
      <c r="K42">
        <v>0.31</v>
      </c>
      <c r="L42">
        <v>0.69</v>
      </c>
      <c r="M42">
        <v>-0.02</v>
      </c>
      <c r="N42">
        <v>0.33729999999999999</v>
      </c>
    </row>
    <row r="43" spans="1:14" x14ac:dyDescent="0.35">
      <c r="A43" s="2" t="s">
        <v>55</v>
      </c>
      <c r="B43" s="2" t="str">
        <f>"871231364866066627"</f>
        <v>871231364866066627</v>
      </c>
      <c r="C43">
        <v>113</v>
      </c>
      <c r="D43">
        <v>51</v>
      </c>
      <c r="E43">
        <v>62</v>
      </c>
      <c r="F43">
        <v>0.45129999999999998</v>
      </c>
      <c r="G43">
        <v>0.54869999999999997</v>
      </c>
      <c r="H43">
        <v>113</v>
      </c>
      <c r="I43">
        <v>35</v>
      </c>
      <c r="J43">
        <v>78</v>
      </c>
      <c r="K43">
        <v>0.30969999999999998</v>
      </c>
      <c r="L43">
        <v>0.69030000000000002</v>
      </c>
      <c r="M43">
        <v>-0.1416</v>
      </c>
      <c r="N43">
        <v>0.40089999999999998</v>
      </c>
    </row>
    <row r="44" spans="1:14" x14ac:dyDescent="0.35">
      <c r="A44" s="2" t="s">
        <v>56</v>
      </c>
      <c r="B44" s="2" t="str">
        <f>"1270291278681288518"</f>
        <v>1270291278681288518</v>
      </c>
      <c r="C44">
        <v>20</v>
      </c>
      <c r="D44">
        <v>6</v>
      </c>
      <c r="E44">
        <v>14</v>
      </c>
      <c r="F44">
        <v>0.3</v>
      </c>
      <c r="G44">
        <v>0.7</v>
      </c>
      <c r="H44">
        <v>20</v>
      </c>
      <c r="I44">
        <v>6</v>
      </c>
      <c r="J44">
        <v>14</v>
      </c>
      <c r="K44">
        <v>0.3</v>
      </c>
      <c r="L44">
        <v>0.7</v>
      </c>
      <c r="M44">
        <v>0</v>
      </c>
      <c r="N44">
        <v>0.39839999999999998</v>
      </c>
    </row>
    <row r="45" spans="1:14" x14ac:dyDescent="0.35">
      <c r="A45" s="2" t="s">
        <v>57</v>
      </c>
      <c r="B45" s="2" t="str">
        <f>"931911079600815104"</f>
        <v>931911079600815104</v>
      </c>
      <c r="C45">
        <v>128</v>
      </c>
      <c r="D45">
        <v>38</v>
      </c>
      <c r="E45">
        <v>90</v>
      </c>
      <c r="F45">
        <v>0.2969</v>
      </c>
      <c r="G45">
        <v>0.70309999999999995</v>
      </c>
      <c r="H45">
        <v>128</v>
      </c>
      <c r="I45">
        <v>38</v>
      </c>
      <c r="J45">
        <v>90</v>
      </c>
      <c r="K45">
        <v>0.2969</v>
      </c>
      <c r="L45">
        <v>0.70309999999999995</v>
      </c>
      <c r="M45">
        <v>0</v>
      </c>
      <c r="N45">
        <v>0.34710000000000002</v>
      </c>
    </row>
    <row r="46" spans="1:14" x14ac:dyDescent="0.35">
      <c r="A46" s="2" t="s">
        <v>58</v>
      </c>
      <c r="B46" s="2" t="str">
        <f>"1118142286350817818"</f>
        <v>1118142286350817818</v>
      </c>
      <c r="C46">
        <v>62</v>
      </c>
      <c r="D46">
        <v>16</v>
      </c>
      <c r="E46">
        <v>46</v>
      </c>
      <c r="F46">
        <v>0.2581</v>
      </c>
      <c r="G46">
        <v>0.7419</v>
      </c>
      <c r="H46">
        <v>62</v>
      </c>
      <c r="I46">
        <v>18</v>
      </c>
      <c r="J46">
        <v>44</v>
      </c>
      <c r="K46">
        <v>0.2903</v>
      </c>
      <c r="L46">
        <v>0.7097</v>
      </c>
      <c r="M46">
        <v>3.2300000000000002E-2</v>
      </c>
      <c r="N46">
        <v>0.3327</v>
      </c>
    </row>
    <row r="47" spans="1:14" x14ac:dyDescent="0.35">
      <c r="A47" s="2" t="s">
        <v>59</v>
      </c>
      <c r="B47" s="2" t="str">
        <f>"1204320587452540691"</f>
        <v>1204320587452540691</v>
      </c>
      <c r="C47">
        <v>66</v>
      </c>
      <c r="D47">
        <v>16</v>
      </c>
      <c r="E47">
        <v>50</v>
      </c>
      <c r="F47">
        <v>0.2424</v>
      </c>
      <c r="G47">
        <v>0.75760000000000005</v>
      </c>
      <c r="H47">
        <v>66</v>
      </c>
      <c r="I47">
        <v>18</v>
      </c>
      <c r="J47">
        <v>48</v>
      </c>
      <c r="K47">
        <v>0.2727</v>
      </c>
      <c r="L47">
        <v>0.72729999999999995</v>
      </c>
      <c r="M47">
        <v>3.0300000000000001E-2</v>
      </c>
      <c r="N47">
        <v>0.34310000000000002</v>
      </c>
    </row>
    <row r="48" spans="1:14" x14ac:dyDescent="0.35">
      <c r="A48" s="2" t="s">
        <v>60</v>
      </c>
      <c r="B48" s="2" t="str">
        <f>"1259080790992015969"</f>
        <v>1259080790992015969</v>
      </c>
      <c r="C48">
        <v>60</v>
      </c>
      <c r="D48">
        <v>20</v>
      </c>
      <c r="E48">
        <v>40</v>
      </c>
      <c r="F48">
        <v>0.33329999999999999</v>
      </c>
      <c r="G48">
        <v>0.66669999999999996</v>
      </c>
      <c r="H48">
        <v>60</v>
      </c>
      <c r="I48">
        <v>16</v>
      </c>
      <c r="J48">
        <v>44</v>
      </c>
      <c r="K48">
        <v>0.26669999999999999</v>
      </c>
      <c r="L48">
        <v>0.73329999999999995</v>
      </c>
      <c r="M48">
        <v>-6.6699999999999995E-2</v>
      </c>
      <c r="N48">
        <v>0.33850000000000002</v>
      </c>
    </row>
    <row r="49" spans="1:14" x14ac:dyDescent="0.35">
      <c r="A49" s="2" t="s">
        <v>61</v>
      </c>
      <c r="B49" s="2" t="str">
        <f>"51813337"</f>
        <v>51813337</v>
      </c>
      <c r="C49">
        <v>57</v>
      </c>
      <c r="D49">
        <v>13</v>
      </c>
      <c r="E49">
        <v>44</v>
      </c>
      <c r="F49">
        <v>0.2281</v>
      </c>
      <c r="G49">
        <v>0.77190000000000003</v>
      </c>
      <c r="H49">
        <v>57</v>
      </c>
      <c r="I49">
        <v>14</v>
      </c>
      <c r="J49">
        <v>43</v>
      </c>
      <c r="K49">
        <v>0.24560000000000001</v>
      </c>
      <c r="L49">
        <v>0.75439999999999996</v>
      </c>
      <c r="M49">
        <v>1.7500000000000002E-2</v>
      </c>
      <c r="N49">
        <v>0.3155</v>
      </c>
    </row>
    <row r="50" spans="1:14" x14ac:dyDescent="0.35">
      <c r="A50" s="2" t="s">
        <v>62</v>
      </c>
      <c r="B50" s="2" t="str">
        <f>"859717485873354592"</f>
        <v>859717485873354592</v>
      </c>
      <c r="C50">
        <v>103</v>
      </c>
      <c r="D50">
        <v>33</v>
      </c>
      <c r="E50">
        <v>70</v>
      </c>
      <c r="F50">
        <v>0.32040000000000002</v>
      </c>
      <c r="G50">
        <v>0.67959999999999998</v>
      </c>
      <c r="H50">
        <v>103</v>
      </c>
      <c r="I50">
        <v>24</v>
      </c>
      <c r="J50">
        <v>79</v>
      </c>
      <c r="K50">
        <v>0.23300000000000001</v>
      </c>
      <c r="L50">
        <v>0.76700000000000002</v>
      </c>
      <c r="M50">
        <v>-8.7400000000000005E-2</v>
      </c>
      <c r="N50">
        <v>0.3231</v>
      </c>
    </row>
    <row r="51" spans="1:14" x14ac:dyDescent="0.35">
      <c r="A51" s="2" t="s">
        <v>63</v>
      </c>
      <c r="B51" s="2" t="str">
        <f>"51265033"</f>
        <v>51265033</v>
      </c>
      <c r="C51">
        <v>34</v>
      </c>
      <c r="D51">
        <v>8</v>
      </c>
      <c r="E51">
        <v>26</v>
      </c>
      <c r="F51">
        <v>0.23530000000000001</v>
      </c>
      <c r="G51">
        <v>0.76470000000000005</v>
      </c>
      <c r="H51">
        <v>34</v>
      </c>
      <c r="I51">
        <v>7</v>
      </c>
      <c r="J51">
        <v>27</v>
      </c>
      <c r="K51">
        <v>0.2059</v>
      </c>
      <c r="L51">
        <v>0.79410000000000003</v>
      </c>
      <c r="M51">
        <v>-2.9399999999999999E-2</v>
      </c>
      <c r="N51">
        <v>0.28770000000000001</v>
      </c>
    </row>
    <row r="52" spans="1:14" x14ac:dyDescent="0.35">
      <c r="A52" s="2" t="s">
        <v>64</v>
      </c>
      <c r="B52" s="2" t="str">
        <f>"708973846265169428"</f>
        <v>708973846265169428</v>
      </c>
      <c r="C52">
        <v>60</v>
      </c>
      <c r="D52">
        <v>8</v>
      </c>
      <c r="E52">
        <v>52</v>
      </c>
      <c r="F52">
        <v>0.1333</v>
      </c>
      <c r="G52">
        <v>0.86670000000000003</v>
      </c>
      <c r="H52">
        <v>60</v>
      </c>
      <c r="I52">
        <v>8</v>
      </c>
      <c r="J52">
        <v>52</v>
      </c>
      <c r="K52">
        <v>0.1333</v>
      </c>
      <c r="L52">
        <v>0.86670000000000003</v>
      </c>
      <c r="M52">
        <v>0</v>
      </c>
      <c r="N52">
        <v>0.183</v>
      </c>
    </row>
    <row r="53" spans="1:14" x14ac:dyDescent="0.35">
      <c r="A53" s="2" t="s">
        <v>65</v>
      </c>
      <c r="B53" s="2" t="str">
        <f>"1086343485196324895"</f>
        <v>1086343485196324895</v>
      </c>
      <c r="C53">
        <v>30</v>
      </c>
      <c r="D53">
        <v>10</v>
      </c>
      <c r="E53">
        <v>20</v>
      </c>
      <c r="F53">
        <v>0.33329999999999999</v>
      </c>
      <c r="G53">
        <v>0.66669999999999996</v>
      </c>
      <c r="H53">
        <v>30</v>
      </c>
      <c r="I53">
        <v>4</v>
      </c>
      <c r="J53">
        <v>26</v>
      </c>
      <c r="K53">
        <v>0.1333</v>
      </c>
      <c r="L53">
        <v>0.86670000000000003</v>
      </c>
      <c r="M53">
        <v>-0.2</v>
      </c>
      <c r="N53">
        <v>0.27479999999999999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Condori Castillo</cp:lastModifiedBy>
  <dcterms:created xsi:type="dcterms:W3CDTF">2026-06-22T17:39:33Z</dcterms:created>
  <dcterms:modified xsi:type="dcterms:W3CDTF">2026-06-22T20:35:28Z</dcterms:modified>
</cp:coreProperties>
</file>